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\Desktop\"/>
    </mc:Choice>
  </mc:AlternateContent>
  <xr:revisionPtr revIDLastSave="0" documentId="8_{AC7F3734-2A18-49F8-869B-6CB0E4577B43}" xr6:coauthVersionLast="47" xr6:coauthVersionMax="47" xr10:uidLastSave="{00000000-0000-0000-0000-000000000000}"/>
  <bookViews>
    <workbookView xWindow="-120" yWindow="-120" windowWidth="29040" windowHeight="15720" xr2:uid="{EDEBDD74-51B8-400F-A456-3C156D0405B5}"/>
  </bookViews>
  <sheets>
    <sheet name="GrossIncome" sheetId="2" r:id="rId1"/>
    <sheet name="SpendingAndSavings" sheetId="5" r:id="rId2"/>
    <sheet name="Sheet3" sheetId="7" r:id="rId3"/>
    <sheet name="Budget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5" l="1"/>
  <c r="D22" i="5"/>
  <c r="E22" i="5"/>
  <c r="F22" i="5"/>
  <c r="G22" i="5"/>
  <c r="H22" i="5"/>
  <c r="I22" i="5"/>
  <c r="B22" i="5"/>
  <c r="I21" i="5"/>
  <c r="I20" i="5"/>
  <c r="E27" i="2"/>
  <c r="C19" i="5"/>
  <c r="D19" i="5"/>
  <c r="E19" i="5"/>
  <c r="F19" i="5"/>
  <c r="G19" i="5"/>
  <c r="H19" i="5"/>
  <c r="I19" i="5"/>
  <c r="B19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5" i="5"/>
  <c r="H38" i="2"/>
  <c r="H32" i="2"/>
  <c r="G32" i="2"/>
  <c r="G38" i="2" s="1"/>
  <c r="F32" i="2"/>
  <c r="F38" i="2" s="1"/>
  <c r="E32" i="2"/>
  <c r="E38" i="2" s="1"/>
  <c r="D32" i="2"/>
  <c r="B32" i="2"/>
  <c r="B31" i="2" s="1"/>
  <c r="I32" i="2" s="1"/>
  <c r="I38" i="2" s="1"/>
  <c r="D43" i="2"/>
  <c r="E43" i="2" s="1"/>
  <c r="G27" i="2"/>
  <c r="F27" i="2"/>
  <c r="D27" i="2"/>
  <c r="F22" i="2"/>
  <c r="E22" i="2"/>
  <c r="D22" i="2"/>
  <c r="F16" i="2"/>
  <c r="E16" i="2"/>
  <c r="D16" i="2"/>
  <c r="B22" i="2"/>
  <c r="I11" i="2"/>
  <c r="J11" i="2"/>
  <c r="E11" i="2"/>
  <c r="B10" i="2"/>
  <c r="G6" i="2"/>
  <c r="F6" i="2"/>
  <c r="D6" i="2"/>
  <c r="B6" i="2"/>
  <c r="F43" i="2" l="1"/>
  <c r="G43" i="2"/>
  <c r="H43" i="2"/>
  <c r="J32" i="2"/>
  <c r="H27" i="2"/>
  <c r="K38" i="2" l="1"/>
  <c r="K32" i="2"/>
  <c r="J38" i="2"/>
</calcChain>
</file>

<file path=xl/sharedStrings.xml><?xml version="1.0" encoding="utf-8"?>
<sst xmlns="http://schemas.openxmlformats.org/spreadsheetml/2006/main" count="95" uniqueCount="73">
  <si>
    <t>Yearly Gross</t>
  </si>
  <si>
    <t>Monthly Gross</t>
  </si>
  <si>
    <t>Biweekly Gross</t>
  </si>
  <si>
    <t>Income Gross</t>
  </si>
  <si>
    <t>Health Insurance</t>
  </si>
  <si>
    <t>Hsa</t>
  </si>
  <si>
    <t>OASDI</t>
  </si>
  <si>
    <t>Medicare</t>
  </si>
  <si>
    <t>Federal Widthholding</t>
  </si>
  <si>
    <t>Total</t>
  </si>
  <si>
    <t>Yearly Bonus</t>
  </si>
  <si>
    <t>Bonus %</t>
  </si>
  <si>
    <t>Yearly Salary</t>
  </si>
  <si>
    <t>Total Yearly</t>
  </si>
  <si>
    <t>Pre tax widtholding biweekly</t>
  </si>
  <si>
    <t>Hsa bieekly</t>
  </si>
  <si>
    <t>Hsa monthly</t>
  </si>
  <si>
    <t>401k aftertax</t>
  </si>
  <si>
    <t>401k pretax</t>
  </si>
  <si>
    <t>Savings</t>
  </si>
  <si>
    <t>Checking</t>
  </si>
  <si>
    <t>Invest</t>
  </si>
  <si>
    <t>Account distributions</t>
  </si>
  <si>
    <t>401k after tax</t>
  </si>
  <si>
    <t>Pay after tax</t>
  </si>
  <si>
    <t>Netpay biweekly</t>
  </si>
  <si>
    <t>Net pay</t>
  </si>
  <si>
    <t>Net Pay biweekly, monthly, yearly</t>
  </si>
  <si>
    <t>biweekly</t>
  </si>
  <si>
    <t>monthly</t>
  </si>
  <si>
    <t>yearly</t>
  </si>
  <si>
    <t>Budget</t>
  </si>
  <si>
    <t>savings</t>
  </si>
  <si>
    <t>checking</t>
  </si>
  <si>
    <t>invest</t>
  </si>
  <si>
    <t>total</t>
  </si>
  <si>
    <t>Gas</t>
  </si>
  <si>
    <t>checking budget biweekly</t>
  </si>
  <si>
    <t>account distributions biweekly</t>
  </si>
  <si>
    <t>checking budget monthly</t>
  </si>
  <si>
    <t>Emergency</t>
  </si>
  <si>
    <t>emergency</t>
  </si>
  <si>
    <t>expected savings</t>
  </si>
  <si>
    <t>6 months</t>
  </si>
  <si>
    <t>8 months</t>
  </si>
  <si>
    <t>year</t>
  </si>
  <si>
    <t>Shopping</t>
  </si>
  <si>
    <t>Food and drink</t>
  </si>
  <si>
    <t>Auto (oil change/tune)</t>
  </si>
  <si>
    <t>Extra</t>
  </si>
  <si>
    <t>Food and Drink</t>
  </si>
  <si>
    <t>Other</t>
  </si>
  <si>
    <t>Spending</t>
  </si>
  <si>
    <t>Difference</t>
  </si>
  <si>
    <t>Differnce</t>
  </si>
  <si>
    <t xml:space="preserve">  </t>
  </si>
  <si>
    <t>Income</t>
  </si>
  <si>
    <t>Food</t>
  </si>
  <si>
    <t>Business &amp; Services</t>
  </si>
  <si>
    <t>Fees and charges</t>
  </si>
  <si>
    <t>Entertainment</t>
  </si>
  <si>
    <t>Auto &amp; Transport</t>
  </si>
  <si>
    <t>Cash ATM</t>
  </si>
  <si>
    <t>Education</t>
  </si>
  <si>
    <t>Personal Care</t>
  </si>
  <si>
    <t>Period</t>
  </si>
  <si>
    <t>Travel &amp; Vacation</t>
  </si>
  <si>
    <t>Total spent</t>
  </si>
  <si>
    <t>Start Date</t>
  </si>
  <si>
    <t>End Date</t>
  </si>
  <si>
    <t>Medical</t>
  </si>
  <si>
    <t>Total Checking Income</t>
  </si>
  <si>
    <t>Total Savings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</si>
</sst>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mm/dd/yy;@"/>
    <numFmt numFmtId="165" formatCode="m/d/yy;@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9" fontId="0" fillId="0" borderId="0" xfId="2" applyFont="1"/>
    <xf numFmtId="44" fontId="0" fillId="0" borderId="8" xfId="1" applyFont="1" applyBorder="1"/>
    <xf numFmtId="44" fontId="0" fillId="0" borderId="0" xfId="1" applyFont="1"/>
    <xf numFmtId="44" fontId="0" fillId="0" borderId="7" xfId="1" applyFont="1" applyBorder="1"/>
    <xf numFmtId="44" fontId="0" fillId="0" borderId="9" xfId="1" applyFont="1" applyBorder="1"/>
    <xf numFmtId="44" fontId="0" fillId="0" borderId="8" xfId="0" applyNumberFormat="1" applyBorder="1"/>
    <xf numFmtId="44" fontId="0" fillId="0" borderId="9" xfId="0" applyNumberFormat="1" applyBorder="1"/>
    <xf numFmtId="44" fontId="0" fillId="0" borderId="7" xfId="0" applyNumberFormat="1" applyBorder="1"/>
    <xf numFmtId="9" fontId="0" fillId="0" borderId="0" xfId="0" applyNumberFormat="1"/>
    <xf numFmtId="0" fontId="0" fillId="0" borderId="13" xfId="0" applyBorder="1"/>
    <xf numFmtId="44" fontId="0" fillId="0" borderId="14" xfId="0" applyNumberFormat="1" applyBorder="1"/>
    <xf numFmtId="0" fontId="0" fillId="0" borderId="15" xfId="0" applyBorder="1"/>
    <xf numFmtId="44" fontId="0" fillId="0" borderId="16" xfId="0" applyNumberFormat="1" applyBorder="1"/>
    <xf numFmtId="44" fontId="0" fillId="0" borderId="18" xfId="1" applyFont="1" applyBorder="1"/>
    <xf numFmtId="44" fontId="0" fillId="0" borderId="17" xfId="1" applyFont="1" applyBorder="1"/>
    <xf numFmtId="44" fontId="0" fillId="0" borderId="0" xfId="1" applyFont="1" applyFill="1" applyBorder="1"/>
    <xf numFmtId="165" fontId="0" fillId="0" borderId="0" xfId="0" applyNumberFormat="1" applyAlignment="1">
      <alignment horizontal="left"/>
    </xf>
    <xf numFmtId="164" fontId="0" fillId="0" borderId="18" xfId="0" applyNumberFormat="1" applyBorder="1" applyAlignment="1">
      <alignment horizontal="left"/>
    </xf>
    <xf numFmtId="44" fontId="0" fillId="0" borderId="19" xfId="1" applyFont="1" applyFill="1" applyBorder="1"/>
    <xf numFmtId="0" fontId="0" fillId="0" borderId="19" xfId="0" applyBorder="1"/>
    <xf numFmtId="44" fontId="0" fillId="0" borderId="0" xfId="1" applyFont="1" applyBorder="1"/>
    <xf numFmtId="44" fontId="0" fillId="0" borderId="0" xfId="0" applyNumberFormat="1"/>
    <xf numFmtId="165" fontId="0" fillId="0" borderId="20" xfId="0" applyNumberFormat="1" applyBorder="1" applyAlignment="1">
      <alignment horizontal="left"/>
    </xf>
    <xf numFmtId="165" fontId="0" fillId="0" borderId="15" xfId="0" applyNumberFormat="1" applyBorder="1" applyAlignment="1">
      <alignment horizontal="left"/>
    </xf>
    <xf numFmtId="164" fontId="0" fillId="0" borderId="15" xfId="0" applyNumberFormat="1" applyBorder="1" applyAlignment="1">
      <alignment horizontal="left"/>
    </xf>
    <xf numFmtId="44" fontId="0" fillId="0" borderId="15" xfId="1" applyFont="1" applyBorder="1"/>
    <xf numFmtId="44" fontId="0" fillId="0" borderId="21" xfId="1" applyFont="1" applyFill="1" applyBorder="1"/>
    <xf numFmtId="44" fontId="0" fillId="0" borderId="17" xfId="1" applyFont="1" applyFill="1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9792846142166112E-2"/>
          <c:y val="0.17634259259259263"/>
          <c:w val="0.95338783323572152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SpendingAndSavings!$A$23</c:f>
              <c:strCache>
                <c:ptCount val="1"/>
                <c:pt idx="0">
                  <c:v> Savings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SpendingAndSavings!$B$23:$EQ$23</c:f>
              <c:numCache>
                <c:formatCode>_("$"* #,##0.00_);_("$"* \(#,##0.00\);_("$"* "-"??_);_(@_)</c:formatCode>
                <c:ptCount val="146"/>
                <c:pt idx="0">
                  <c:v>32</c:v>
                </c:pt>
                <c:pt idx="1">
                  <c:v>32</c:v>
                </c:pt>
                <c:pt idx="2">
                  <c:v>1035</c:v>
                </c:pt>
                <c:pt idx="3">
                  <c:v>1599</c:v>
                </c:pt>
                <c:pt idx="4">
                  <c:v>1603</c:v>
                </c:pt>
                <c:pt idx="5">
                  <c:v>1608</c:v>
                </c:pt>
                <c:pt idx="6">
                  <c:v>1923</c:v>
                </c:pt>
                <c:pt idx="7">
                  <c:v>6028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80-403F-86B3-8B555DD4F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8215695"/>
        <c:axId val="568217615"/>
      </c:barChart>
      <c:catAx>
        <c:axId val="5682156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217615"/>
        <c:crosses val="autoZero"/>
        <c:auto val="1"/>
        <c:lblAlgn val="ctr"/>
        <c:lblOffset val="100"/>
        <c:noMultiLvlLbl val="0"/>
      </c:catAx>
      <c:valAx>
        <c:axId val="56821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215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Checking</a:t>
            </a:r>
            <a:r>
              <a:rPr lang="en-US" baseline="0"/>
              <a:t> Income v Spent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SpendingAndSavings!$A$19</c:f>
              <c:strCache>
                <c:ptCount val="1"/>
                <c:pt idx="0">
                  <c:v> Total spent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SpendingAndSavings!$B$19:$EQ$19</c:f>
              <c:numCache>
                <c:formatCode>_("$"* #,##0.00_);_("$"* \(#,##0.00\);_("$"* "-"??_);_(@_)</c:formatCode>
                <c:ptCount val="146"/>
                <c:pt idx="0">
                  <c:v>303.26</c:v>
                </c:pt>
                <c:pt idx="1">
                  <c:v>733.82</c:v>
                </c:pt>
                <c:pt idx="2">
                  <c:v>797.1</c:v>
                </c:pt>
                <c:pt idx="3">
                  <c:v>500.33</c:v>
                </c:pt>
                <c:pt idx="4">
                  <c:v>1138.5</c:v>
                </c:pt>
                <c:pt idx="5">
                  <c:v>899.31000000000006</c:v>
                </c:pt>
                <c:pt idx="6">
                  <c:v>966.24</c:v>
                </c:pt>
                <c:pt idx="7">
                  <c:v>1304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E8-491E-92A8-028CD5A17ED8}"/>
            </c:ext>
          </c:extLst>
        </c:ser>
        <c:ser>
          <c:idx val="1"/>
          <c:order val="1"/>
          <c:tx>
            <c:strRef>
              <c:f>SpendingAndSavings!$A$20</c:f>
              <c:strCache>
                <c:ptCount val="1"/>
                <c:pt idx="0">
                  <c:v> Total Checking Income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SpendingAndSavings!$B$20:$EQ$20</c:f>
              <c:numCache>
                <c:formatCode>_("$"* #,##0.00_);_("$"* \(#,##0.00\);_("$"* "-"??_);_(@_)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1235</c:v>
                </c:pt>
                <c:pt idx="4">
                  <c:v>2427</c:v>
                </c:pt>
                <c:pt idx="5">
                  <c:v>0</c:v>
                </c:pt>
                <c:pt idx="6">
                  <c:v>315</c:v>
                </c:pt>
                <c:pt idx="7">
                  <c:v>1647.7025000000001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E8-491E-92A8-028CD5A17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8218575"/>
        <c:axId val="568215215"/>
      </c:lineChart>
      <c:catAx>
        <c:axId val="5682185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215215"/>
        <c:crosses val="autoZero"/>
        <c:auto val="1"/>
        <c:lblAlgn val="ctr"/>
        <c:lblOffset val="100"/>
        <c:noMultiLvlLbl val="0"/>
      </c:catAx>
      <c:valAx>
        <c:axId val="56821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21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57148</xdr:colOff>
      <xdr:row>0</xdr:row>
      <xdr:rowOff>38100</xdr:rowOff>
    </xdr:from>
    <xdr:to>
      <xdr:col>67</xdr:col>
      <xdr:colOff>66675</xdr:colOff>
      <xdr:row>14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413F91-7259-4AAC-814E-069D2579AB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66674</xdr:colOff>
      <xdr:row>14</xdr:row>
      <xdr:rowOff>133350</xdr:rowOff>
    </xdr:from>
    <xdr:to>
      <xdr:col>67</xdr:col>
      <xdr:colOff>114300</xdr:colOff>
      <xdr:row>29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EE054E-9417-498C-940E-9291ED75F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361FB-916B-4DB0-BC1A-1750FE0C17FD}">
  <dimension ref="A3:K43"/>
  <sheetViews>
    <sheetView tabSelected="1" topLeftCell="A12" workbookViewId="0">
      <selection activeCell="B19" sqref="B19"/>
    </sheetView>
  </sheetViews>
  <sheetFormatPr defaultColWidth="20.7109375" defaultRowHeight="15" x14ac:dyDescent="0.25"/>
  <sheetData>
    <row r="3" spans="1:10" ht="15.75" thickBot="1" x14ac:dyDescent="0.3"/>
    <row r="4" spans="1:10" x14ac:dyDescent="0.25">
      <c r="A4" t="s">
        <v>11</v>
      </c>
      <c r="B4" s="5">
        <v>0.09</v>
      </c>
      <c r="D4" s="33" t="s">
        <v>3</v>
      </c>
      <c r="E4" s="34"/>
      <c r="F4" s="34"/>
      <c r="G4" s="34"/>
      <c r="H4" s="35"/>
    </row>
    <row r="5" spans="1:10" ht="15.75" thickBot="1" x14ac:dyDescent="0.3">
      <c r="A5" t="s">
        <v>12</v>
      </c>
      <c r="B5" s="6">
        <v>92435</v>
      </c>
      <c r="D5" s="2" t="s">
        <v>10</v>
      </c>
      <c r="E5" s="1" t="s">
        <v>0</v>
      </c>
      <c r="F5" s="1" t="s">
        <v>1</v>
      </c>
      <c r="G5" s="1" t="s">
        <v>2</v>
      </c>
      <c r="H5" s="3" t="s">
        <v>9</v>
      </c>
    </row>
    <row r="6" spans="1:10" ht="15.75" thickBot="1" x14ac:dyDescent="0.3">
      <c r="A6" t="s">
        <v>13</v>
      </c>
      <c r="B6" s="7">
        <f>(B5)+(B5*B4)</f>
        <v>100754.15</v>
      </c>
      <c r="D6" s="8">
        <f>B5*B4</f>
        <v>8319.15</v>
      </c>
      <c r="E6" s="6">
        <v>92435</v>
      </c>
      <c r="F6" s="6">
        <f>E6/12</f>
        <v>7702.916666666667</v>
      </c>
      <c r="G6" s="6">
        <f>F6/2</f>
        <v>3851.4583333333335</v>
      </c>
      <c r="H6" s="9"/>
    </row>
    <row r="8" spans="1:10" ht="15.75" thickBot="1" x14ac:dyDescent="0.3"/>
    <row r="9" spans="1:10" x14ac:dyDescent="0.25">
      <c r="A9" t="s">
        <v>16</v>
      </c>
      <c r="B9" s="7">
        <v>250</v>
      </c>
      <c r="D9" s="33" t="s">
        <v>14</v>
      </c>
      <c r="E9" s="34"/>
      <c r="F9" s="34"/>
      <c r="G9" s="34"/>
      <c r="H9" s="34"/>
      <c r="I9" s="34"/>
      <c r="J9" s="35"/>
    </row>
    <row r="10" spans="1:10" x14ac:dyDescent="0.25">
      <c r="A10" t="s">
        <v>15</v>
      </c>
      <c r="B10" s="7">
        <f>B9/2</f>
        <v>125</v>
      </c>
      <c r="D10" s="2" t="s">
        <v>4</v>
      </c>
      <c r="E10" s="1" t="s">
        <v>5</v>
      </c>
      <c r="F10" s="1" t="s">
        <v>6</v>
      </c>
      <c r="G10" s="1" t="s">
        <v>7</v>
      </c>
      <c r="H10" s="1" t="s">
        <v>8</v>
      </c>
      <c r="I10" s="1" t="s">
        <v>18</v>
      </c>
      <c r="J10" s="3" t="s">
        <v>9</v>
      </c>
    </row>
    <row r="11" spans="1:10" ht="15.75" thickBot="1" x14ac:dyDescent="0.3">
      <c r="D11" s="8">
        <v>25</v>
      </c>
      <c r="E11" s="6">
        <f>B10</f>
        <v>125</v>
      </c>
      <c r="F11" s="6">
        <v>240</v>
      </c>
      <c r="G11" s="6">
        <v>60</v>
      </c>
      <c r="H11" s="6">
        <v>480</v>
      </c>
      <c r="I11" s="10">
        <f>G6*B13</f>
        <v>0</v>
      </c>
      <c r="J11" s="11">
        <f>SUM(D11:I11)</f>
        <v>930</v>
      </c>
    </row>
    <row r="13" spans="1:10" ht="15.75" thickBot="1" x14ac:dyDescent="0.3">
      <c r="A13" t="s">
        <v>18</v>
      </c>
      <c r="B13" s="5">
        <v>0</v>
      </c>
    </row>
    <row r="14" spans="1:10" x14ac:dyDescent="0.25">
      <c r="A14" t="s">
        <v>17</v>
      </c>
      <c r="B14" s="5">
        <v>0.06</v>
      </c>
      <c r="D14" s="36" t="s">
        <v>26</v>
      </c>
      <c r="E14" s="37"/>
      <c r="F14" s="38"/>
    </row>
    <row r="15" spans="1:10" x14ac:dyDescent="0.25">
      <c r="D15" s="2" t="s">
        <v>24</v>
      </c>
      <c r="E15" s="1" t="s">
        <v>23</v>
      </c>
      <c r="F15" s="3" t="s">
        <v>25</v>
      </c>
    </row>
    <row r="16" spans="1:10" ht="15.75" thickBot="1" x14ac:dyDescent="0.3">
      <c r="D16" s="8">
        <f>(G6-J11)</f>
        <v>2921.4583333333335</v>
      </c>
      <c r="E16" s="6">
        <f>D16*B14</f>
        <v>175.28749999999999</v>
      </c>
      <c r="F16" s="11">
        <f>(D16-E16)</f>
        <v>2746.1708333333336</v>
      </c>
    </row>
    <row r="17" spans="1:11" x14ac:dyDescent="0.25">
      <c r="A17" t="s">
        <v>22</v>
      </c>
    </row>
    <row r="18" spans="1:11" x14ac:dyDescent="0.25">
      <c r="A18" t="s">
        <v>19</v>
      </c>
      <c r="B18" s="5">
        <v>0.7</v>
      </c>
    </row>
    <row r="19" spans="1:11" ht="15.75" thickBot="1" x14ac:dyDescent="0.3">
      <c r="A19" t="s">
        <v>20</v>
      </c>
      <c r="B19" s="5">
        <v>0.3</v>
      </c>
    </row>
    <row r="20" spans="1:11" x14ac:dyDescent="0.25">
      <c r="A20" t="s">
        <v>40</v>
      </c>
      <c r="B20" s="5">
        <v>0</v>
      </c>
      <c r="D20" s="36" t="s">
        <v>27</v>
      </c>
      <c r="E20" s="37"/>
      <c r="F20" s="38"/>
    </row>
    <row r="21" spans="1:11" x14ac:dyDescent="0.25">
      <c r="A21" t="s">
        <v>21</v>
      </c>
      <c r="B21" s="5">
        <v>0</v>
      </c>
      <c r="D21" s="2" t="s">
        <v>28</v>
      </c>
      <c r="E21" s="1" t="s">
        <v>29</v>
      </c>
      <c r="F21" s="3" t="s">
        <v>30</v>
      </c>
    </row>
    <row r="22" spans="1:11" ht="15.75" thickBot="1" x14ac:dyDescent="0.3">
      <c r="A22" t="s">
        <v>9</v>
      </c>
      <c r="B22" s="5">
        <f>SUM(B18:B21)</f>
        <v>1</v>
      </c>
      <c r="D22" s="12">
        <f>F16</f>
        <v>2746.1708333333336</v>
      </c>
      <c r="E22" s="10">
        <f>D22*2</f>
        <v>5492.3416666666672</v>
      </c>
      <c r="F22" s="11">
        <f>E22*12</f>
        <v>65908.100000000006</v>
      </c>
    </row>
    <row r="24" spans="1:11" ht="15.75" thickBot="1" x14ac:dyDescent="0.3"/>
    <row r="25" spans="1:11" x14ac:dyDescent="0.25">
      <c r="A25" t="s">
        <v>31</v>
      </c>
      <c r="D25" s="33" t="s">
        <v>38</v>
      </c>
      <c r="E25" s="34"/>
      <c r="F25" s="34"/>
      <c r="G25" s="34"/>
      <c r="H25" s="35"/>
    </row>
    <row r="26" spans="1:11" x14ac:dyDescent="0.25">
      <c r="A26" t="s">
        <v>46</v>
      </c>
      <c r="B26" s="5">
        <v>0.28000000000000003</v>
      </c>
      <c r="D26" s="2" t="s">
        <v>32</v>
      </c>
      <c r="E26" s="1" t="s">
        <v>33</v>
      </c>
      <c r="F26" s="1" t="s">
        <v>41</v>
      </c>
      <c r="G26" s="1" t="s">
        <v>34</v>
      </c>
      <c r="H26" s="3" t="s">
        <v>35</v>
      </c>
    </row>
    <row r="27" spans="1:11" ht="15.75" thickBot="1" x14ac:dyDescent="0.3">
      <c r="A27" t="s">
        <v>47</v>
      </c>
      <c r="B27" s="5">
        <v>0.25</v>
      </c>
      <c r="D27" s="12">
        <f>(D22*B18)</f>
        <v>1922.3195833333334</v>
      </c>
      <c r="E27" s="10">
        <f>(D22*B19)</f>
        <v>823.85125000000005</v>
      </c>
      <c r="F27" s="10">
        <f>(D22*B20)</f>
        <v>0</v>
      </c>
      <c r="G27" s="10">
        <f>(D22*B21)</f>
        <v>0</v>
      </c>
      <c r="H27" s="11">
        <f>SUM(D27:G27)</f>
        <v>2746.1708333333336</v>
      </c>
    </row>
    <row r="28" spans="1:11" x14ac:dyDescent="0.25">
      <c r="A28" t="s">
        <v>48</v>
      </c>
      <c r="B28" s="5">
        <v>0.15</v>
      </c>
    </row>
    <row r="29" spans="1:11" ht="15.75" thickBot="1" x14ac:dyDescent="0.3">
      <c r="A29" t="s">
        <v>36</v>
      </c>
      <c r="B29" s="5">
        <v>0.15</v>
      </c>
    </row>
    <row r="30" spans="1:11" x14ac:dyDescent="0.25">
      <c r="A30" t="s">
        <v>51</v>
      </c>
      <c r="B30" s="5">
        <v>0</v>
      </c>
      <c r="D30" s="33" t="s">
        <v>37</v>
      </c>
      <c r="E30" s="34"/>
      <c r="F30" s="34"/>
      <c r="G30" s="34"/>
      <c r="H30" s="34"/>
      <c r="I30" s="34"/>
      <c r="J30" s="34"/>
      <c r="K30" s="35"/>
    </row>
    <row r="31" spans="1:11" x14ac:dyDescent="0.25">
      <c r="A31" t="s">
        <v>49</v>
      </c>
      <c r="B31" s="13">
        <f>100%-B32</f>
        <v>0.16999999999999993</v>
      </c>
      <c r="D31" s="2" t="s">
        <v>46</v>
      </c>
      <c r="E31" s="1" t="s">
        <v>50</v>
      </c>
      <c r="F31" s="1" t="s">
        <v>48</v>
      </c>
      <c r="G31" s="1" t="s">
        <v>36</v>
      </c>
      <c r="H31" s="1" t="s">
        <v>51</v>
      </c>
      <c r="I31" s="1" t="s">
        <v>49</v>
      </c>
      <c r="J31" s="14" t="s">
        <v>52</v>
      </c>
      <c r="K31" s="16" t="s">
        <v>54</v>
      </c>
    </row>
    <row r="32" spans="1:11" ht="15.75" thickBot="1" x14ac:dyDescent="0.3">
      <c r="A32" t="s">
        <v>9</v>
      </c>
      <c r="B32" s="5">
        <f>SUM(B30,B29,B28,B27,B26)</f>
        <v>0.83000000000000007</v>
      </c>
      <c r="D32" s="12">
        <f>(B26*E27)</f>
        <v>230.67835000000002</v>
      </c>
      <c r="E32" s="10">
        <f>(E27*B27)</f>
        <v>205.96281250000001</v>
      </c>
      <c r="F32" s="10">
        <f>(E27*B28)</f>
        <v>123.5776875</v>
      </c>
      <c r="G32" s="10">
        <f>(B29*E27)</f>
        <v>123.5776875</v>
      </c>
      <c r="H32" s="10">
        <f>(B30*E27)</f>
        <v>0</v>
      </c>
      <c r="I32" s="10">
        <f>(B31*E27)</f>
        <v>140.05471249999994</v>
      </c>
      <c r="J32" s="15">
        <f>SUM(H32,G32,F32,E32,D32)</f>
        <v>683.7965375</v>
      </c>
      <c r="K32" s="17">
        <f>(E27-J32)</f>
        <v>140.05471250000005</v>
      </c>
    </row>
    <row r="35" spans="4:11" ht="15.75" thickBot="1" x14ac:dyDescent="0.3"/>
    <row r="36" spans="4:11" x14ac:dyDescent="0.25">
      <c r="D36" s="36" t="s">
        <v>39</v>
      </c>
      <c r="E36" s="37"/>
      <c r="F36" s="37"/>
      <c r="G36" s="37"/>
      <c r="H36" s="37"/>
      <c r="I36" s="37"/>
      <c r="J36" s="37"/>
      <c r="K36" s="38"/>
    </row>
    <row r="37" spans="4:11" x14ac:dyDescent="0.25">
      <c r="D37" s="2" t="s">
        <v>46</v>
      </c>
      <c r="E37" s="1" t="s">
        <v>50</v>
      </c>
      <c r="F37" s="1" t="s">
        <v>48</v>
      </c>
      <c r="G37" s="1" t="s">
        <v>36</v>
      </c>
      <c r="H37" s="1" t="s">
        <v>51</v>
      </c>
      <c r="I37" s="1" t="s">
        <v>49</v>
      </c>
      <c r="J37" s="1" t="s">
        <v>52</v>
      </c>
      <c r="K37" s="3" t="s">
        <v>53</v>
      </c>
    </row>
    <row r="38" spans="4:11" ht="15.75" thickBot="1" x14ac:dyDescent="0.3">
      <c r="D38" s="12" t="s">
        <v>55</v>
      </c>
      <c r="E38" s="10">
        <f t="shared" ref="E38:J38" si="0">(E32*2)</f>
        <v>411.92562500000003</v>
      </c>
      <c r="F38" s="10">
        <f t="shared" si="0"/>
        <v>247.15537499999999</v>
      </c>
      <c r="G38" s="10">
        <f t="shared" si="0"/>
        <v>247.15537499999999</v>
      </c>
      <c r="H38" s="10">
        <f t="shared" si="0"/>
        <v>0</v>
      </c>
      <c r="I38" s="10">
        <f t="shared" si="0"/>
        <v>280.10942499999987</v>
      </c>
      <c r="J38" s="10">
        <f t="shared" si="0"/>
        <v>1367.593075</v>
      </c>
      <c r="K38" s="11">
        <f>((E27*2)-(J32*2))</f>
        <v>280.1094250000001</v>
      </c>
    </row>
    <row r="40" spans="4:11" ht="15.75" thickBot="1" x14ac:dyDescent="0.3"/>
    <row r="41" spans="4:11" x14ac:dyDescent="0.25">
      <c r="D41" s="33" t="s">
        <v>42</v>
      </c>
      <c r="E41" s="34"/>
      <c r="F41" s="34"/>
      <c r="G41" s="34"/>
      <c r="H41" s="34"/>
      <c r="I41" s="35"/>
    </row>
    <row r="42" spans="4:11" x14ac:dyDescent="0.25">
      <c r="D42" s="2" t="s">
        <v>28</v>
      </c>
      <c r="E42" s="1" t="s">
        <v>29</v>
      </c>
      <c r="F42" s="1" t="s">
        <v>43</v>
      </c>
      <c r="G42" s="1" t="s">
        <v>44</v>
      </c>
      <c r="H42" s="1" t="s">
        <v>45</v>
      </c>
      <c r="I42" s="3"/>
    </row>
    <row r="43" spans="4:11" ht="15.75" thickBot="1" x14ac:dyDescent="0.3">
      <c r="D43" s="12">
        <f>(D22*B18)</f>
        <v>1922.3195833333334</v>
      </c>
      <c r="E43" s="10">
        <f>(D43*2)</f>
        <v>3844.6391666666668</v>
      </c>
      <c r="F43" s="10">
        <f>(E43*6)</f>
        <v>23067.834999999999</v>
      </c>
      <c r="G43" s="10">
        <f>(E43*8)</f>
        <v>30757.113333333335</v>
      </c>
      <c r="H43" s="10">
        <f>(E43*12)</f>
        <v>46135.67</v>
      </c>
      <c r="I43" s="4"/>
    </row>
  </sheetData>
  <mergeCells count="8">
    <mergeCell ref="D41:I41"/>
    <mergeCell ref="D36:K36"/>
    <mergeCell ref="D30:K30"/>
    <mergeCell ref="D4:H4"/>
    <mergeCell ref="D9:J9"/>
    <mergeCell ref="D14:F14"/>
    <mergeCell ref="D20:F20"/>
    <mergeCell ref="D25:H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18C5B-D661-44DE-AE03-DC47956092FC}">
  <dimension ref="A2:BY23"/>
  <sheetViews>
    <sheetView topLeftCell="A2" zoomScale="115" zoomScaleNormal="115" workbookViewId="0">
      <pane xSplit="1" topLeftCell="C1" activePane="topRight" state="frozen"/>
      <selection pane="topRight" activeCell="I29" sqref="I29"/>
    </sheetView>
  </sheetViews>
  <sheetFormatPr defaultRowHeight="15" x14ac:dyDescent="0.25"/>
  <cols>
    <col min="1" max="1" width="24" customWidth="1"/>
    <col min="2" max="2" width="18.7109375" bestFit="1" customWidth="1"/>
    <col min="3" max="3" width="19" bestFit="1" customWidth="1"/>
    <col min="4" max="4" width="19.5703125" bestFit="1" customWidth="1"/>
    <col min="5" max="5" width="18.7109375" bestFit="1" customWidth="1"/>
    <col min="6" max="6" width="19.85546875" bestFit="1" customWidth="1"/>
    <col min="7" max="7" width="18.7109375" customWidth="1"/>
    <col min="8" max="8" width="17.5703125" bestFit="1" customWidth="1"/>
    <col min="9" max="9" width="19.28515625" bestFit="1" customWidth="1"/>
    <col min="10" max="10" width="19" bestFit="1" customWidth="1"/>
    <col min="11" max="11" width="18.7109375" bestFit="1" customWidth="1"/>
    <col min="12" max="12" width="19.5703125" bestFit="1" customWidth="1"/>
    <col min="13" max="13" width="19.28515625" bestFit="1" customWidth="1"/>
    <col min="14" max="14" width="18.7109375" bestFit="1" customWidth="1"/>
    <col min="15" max="15" width="19" bestFit="1" customWidth="1"/>
    <col min="16" max="16" width="19.5703125" bestFit="1" customWidth="1"/>
    <col min="17" max="17" width="18.7109375" bestFit="1" customWidth="1"/>
    <col min="18" max="18" width="19.85546875" bestFit="1" customWidth="1"/>
    <col min="19" max="19" width="18.7109375" bestFit="1" customWidth="1"/>
    <col min="20" max="20" width="17.5703125" bestFit="1" customWidth="1"/>
    <col min="21" max="21" width="19.28515625" bestFit="1" customWidth="1"/>
    <col min="22" max="22" width="19" bestFit="1" customWidth="1"/>
    <col min="23" max="23" width="18.7109375" bestFit="1" customWidth="1"/>
    <col min="24" max="24" width="19.5703125" bestFit="1" customWidth="1"/>
    <col min="25" max="25" width="19.28515625" bestFit="1" customWidth="1"/>
    <col min="26" max="26" width="18.7109375" bestFit="1" customWidth="1"/>
    <col min="27" max="27" width="19" bestFit="1" customWidth="1"/>
    <col min="28" max="28" width="19.5703125" bestFit="1" customWidth="1"/>
    <col min="29" max="29" width="18.7109375" bestFit="1" customWidth="1"/>
    <col min="30" max="30" width="19.85546875" bestFit="1" customWidth="1"/>
    <col min="31" max="31" width="18.7109375" bestFit="1" customWidth="1"/>
    <col min="32" max="32" width="17.5703125" bestFit="1" customWidth="1"/>
    <col min="33" max="33" width="19.28515625" bestFit="1" customWidth="1"/>
    <col min="34" max="34" width="19" bestFit="1" customWidth="1"/>
    <col min="35" max="35" width="18.7109375" bestFit="1" customWidth="1"/>
    <col min="36" max="36" width="19.5703125" bestFit="1" customWidth="1"/>
    <col min="37" max="37" width="19.28515625" bestFit="1" customWidth="1"/>
    <col min="38" max="38" width="18.7109375" bestFit="1" customWidth="1"/>
    <col min="39" max="39" width="19" bestFit="1" customWidth="1"/>
    <col min="40" max="40" width="19.5703125" bestFit="1" customWidth="1"/>
    <col min="41" max="41" width="18.7109375" bestFit="1" customWidth="1"/>
    <col min="42" max="42" width="19.85546875" bestFit="1" customWidth="1"/>
    <col min="43" max="43" width="18.7109375" bestFit="1" customWidth="1"/>
    <col min="44" max="44" width="17.5703125" bestFit="1" customWidth="1"/>
    <col min="45" max="45" width="19.28515625" bestFit="1" customWidth="1"/>
    <col min="46" max="46" width="19" bestFit="1" customWidth="1"/>
    <col min="47" max="47" width="18.7109375" bestFit="1" customWidth="1"/>
    <col min="48" max="48" width="19.5703125" bestFit="1" customWidth="1"/>
    <col min="49" max="49" width="19.28515625" bestFit="1" customWidth="1"/>
    <col min="50" max="50" width="18.7109375" bestFit="1" customWidth="1"/>
    <col min="51" max="51" width="19" bestFit="1" customWidth="1"/>
    <col min="52" max="52" width="19.5703125" bestFit="1" customWidth="1"/>
    <col min="53" max="53" width="18.7109375" bestFit="1" customWidth="1"/>
    <col min="54" max="54" width="19.85546875" bestFit="1" customWidth="1"/>
    <col min="55" max="55" width="18.7109375" bestFit="1" customWidth="1"/>
    <col min="56" max="56" width="17.5703125" bestFit="1" customWidth="1"/>
    <col min="57" max="57" width="19.28515625" bestFit="1" customWidth="1"/>
    <col min="58" max="58" width="19" bestFit="1" customWidth="1"/>
    <col min="59" max="59" width="18.7109375" bestFit="1" customWidth="1"/>
    <col min="60" max="60" width="19.5703125" bestFit="1" customWidth="1"/>
    <col min="61" max="61" width="19.28515625" bestFit="1" customWidth="1"/>
    <col min="62" max="62" width="18.7109375" bestFit="1" customWidth="1"/>
    <col min="63" max="63" width="19" bestFit="1" customWidth="1"/>
    <col min="64" max="64" width="19.5703125" bestFit="1" customWidth="1"/>
    <col min="65" max="65" width="18.7109375" bestFit="1" customWidth="1"/>
    <col min="66" max="66" width="19.85546875" bestFit="1" customWidth="1"/>
    <col min="67" max="67" width="18.7109375" bestFit="1" customWidth="1"/>
    <col min="68" max="68" width="17.5703125" bestFit="1" customWidth="1"/>
    <col min="69" max="69" width="19.28515625" bestFit="1" customWidth="1"/>
    <col min="70" max="70" width="19" bestFit="1" customWidth="1"/>
    <col min="71" max="71" width="18.7109375" bestFit="1" customWidth="1"/>
    <col min="72" max="72" width="19.5703125" bestFit="1" customWidth="1"/>
    <col min="73" max="73" width="19.28515625" bestFit="1" customWidth="1"/>
    <col min="74" max="74" width="18.7109375" bestFit="1" customWidth="1"/>
    <col min="75" max="75" width="19" bestFit="1" customWidth="1"/>
    <col min="76" max="76" width="19.5703125" bestFit="1" customWidth="1"/>
    <col min="77" max="77" width="18.7109375" bestFit="1" customWidth="1"/>
    <col min="78" max="147" width="10.42578125" bestFit="1" customWidth="1"/>
  </cols>
  <sheetData>
    <row r="2" spans="1:77" ht="15.75" thickBot="1" x14ac:dyDescent="0.3"/>
    <row r="3" spans="1:77" s="21" customFormat="1" x14ac:dyDescent="0.25">
      <c r="A3" s="27" t="s">
        <v>68</v>
      </c>
      <c r="B3" s="21">
        <v>45658</v>
      </c>
      <c r="C3" s="21">
        <v>45689</v>
      </c>
      <c r="D3" s="21">
        <v>45717</v>
      </c>
      <c r="E3" s="21">
        <v>45748</v>
      </c>
      <c r="F3" s="21">
        <v>45778</v>
      </c>
      <c r="G3" s="21">
        <v>45809</v>
      </c>
      <c r="H3" s="21">
        <v>45839</v>
      </c>
      <c r="I3" s="21">
        <v>45870</v>
      </c>
      <c r="J3" s="21">
        <v>45901</v>
      </c>
      <c r="K3" s="21">
        <v>45931</v>
      </c>
      <c r="L3" s="21">
        <v>45962</v>
      </c>
      <c r="M3" s="21">
        <v>45992</v>
      </c>
      <c r="N3" s="21">
        <v>46023</v>
      </c>
      <c r="O3" s="21">
        <v>46054</v>
      </c>
      <c r="P3" s="21">
        <v>46082</v>
      </c>
      <c r="Q3" s="21">
        <v>46113</v>
      </c>
      <c r="R3" s="21">
        <v>46143</v>
      </c>
      <c r="S3" s="21">
        <v>46174</v>
      </c>
      <c r="T3" s="21">
        <v>46204</v>
      </c>
      <c r="U3" s="21">
        <v>46235</v>
      </c>
      <c r="V3" s="21">
        <v>46266</v>
      </c>
      <c r="W3" s="21">
        <v>46296</v>
      </c>
      <c r="X3" s="21">
        <v>46327</v>
      </c>
      <c r="Y3" s="21">
        <v>46357</v>
      </c>
      <c r="Z3" s="21">
        <v>46388</v>
      </c>
      <c r="AA3" s="21">
        <v>46419</v>
      </c>
      <c r="AB3" s="21">
        <v>46447</v>
      </c>
      <c r="AC3" s="21">
        <v>46478</v>
      </c>
      <c r="AD3" s="21">
        <v>46508</v>
      </c>
      <c r="AE3" s="21">
        <v>46539</v>
      </c>
      <c r="AF3" s="21">
        <v>46569</v>
      </c>
      <c r="AG3" s="21">
        <v>46600</v>
      </c>
      <c r="AH3" s="21">
        <v>46631</v>
      </c>
      <c r="AI3" s="21">
        <v>46661</v>
      </c>
      <c r="AJ3" s="21">
        <v>46692</v>
      </c>
      <c r="AK3" s="21">
        <v>46722</v>
      </c>
      <c r="AL3" s="21">
        <v>46753</v>
      </c>
      <c r="AM3" s="21">
        <v>46784</v>
      </c>
      <c r="AN3" s="21">
        <v>46813</v>
      </c>
      <c r="AO3" s="21">
        <v>46844</v>
      </c>
      <c r="AP3" s="21">
        <v>46874</v>
      </c>
      <c r="AQ3" s="21">
        <v>46905</v>
      </c>
      <c r="AR3" s="21">
        <v>46935</v>
      </c>
      <c r="AS3" s="21">
        <v>46966</v>
      </c>
      <c r="AT3" s="21">
        <v>46997</v>
      </c>
      <c r="AU3" s="21">
        <v>47027</v>
      </c>
      <c r="AV3" s="21">
        <v>47058</v>
      </c>
      <c r="AW3" s="21">
        <v>47088</v>
      </c>
      <c r="AX3" s="21">
        <v>47119</v>
      </c>
      <c r="AY3" s="21">
        <v>47150</v>
      </c>
      <c r="AZ3" s="21">
        <v>47178</v>
      </c>
      <c r="BA3" s="21">
        <v>47209</v>
      </c>
      <c r="BB3" s="21">
        <v>47239</v>
      </c>
      <c r="BC3" s="21">
        <v>47270</v>
      </c>
      <c r="BD3" s="21">
        <v>47300</v>
      </c>
      <c r="BE3" s="21">
        <v>47331</v>
      </c>
      <c r="BF3" s="21">
        <v>47362</v>
      </c>
      <c r="BG3" s="21">
        <v>47392</v>
      </c>
      <c r="BH3" s="21">
        <v>47423</v>
      </c>
      <c r="BI3" s="21">
        <v>47453</v>
      </c>
      <c r="BJ3" s="21">
        <v>47484</v>
      </c>
      <c r="BK3" s="21">
        <v>47515</v>
      </c>
      <c r="BL3" s="21">
        <v>47543</v>
      </c>
      <c r="BM3" s="21">
        <v>47574</v>
      </c>
      <c r="BN3" s="21">
        <v>47604</v>
      </c>
      <c r="BO3" s="21">
        <v>47635</v>
      </c>
      <c r="BP3" s="21">
        <v>47665</v>
      </c>
      <c r="BQ3" s="21">
        <v>47696</v>
      </c>
      <c r="BR3" s="21">
        <v>47727</v>
      </c>
      <c r="BS3" s="21">
        <v>47757</v>
      </c>
      <c r="BT3" s="21">
        <v>47788</v>
      </c>
      <c r="BU3" s="21">
        <v>47818</v>
      </c>
      <c r="BV3" s="21">
        <v>47849</v>
      </c>
      <c r="BW3" s="21">
        <v>47880</v>
      </c>
      <c r="BX3" s="21">
        <v>47908</v>
      </c>
      <c r="BY3" s="21">
        <v>47939</v>
      </c>
    </row>
    <row r="4" spans="1:77" s="21" customFormat="1" ht="15.75" thickBot="1" x14ac:dyDescent="0.3">
      <c r="A4" s="28" t="s">
        <v>69</v>
      </c>
      <c r="B4" s="21">
        <v>45688</v>
      </c>
      <c r="C4" s="21">
        <v>45716</v>
      </c>
      <c r="D4" s="21">
        <v>45747</v>
      </c>
      <c r="E4" s="21">
        <v>45777</v>
      </c>
      <c r="F4" s="21">
        <v>45808</v>
      </c>
      <c r="G4" s="21">
        <v>45838</v>
      </c>
      <c r="H4" s="21">
        <v>45869</v>
      </c>
      <c r="I4" s="21">
        <v>45900</v>
      </c>
      <c r="J4" s="21">
        <v>45930</v>
      </c>
      <c r="K4" s="21">
        <v>45961</v>
      </c>
      <c r="L4" s="21">
        <v>45991</v>
      </c>
      <c r="M4" s="21">
        <v>46022</v>
      </c>
      <c r="N4" s="21">
        <v>46053</v>
      </c>
      <c r="O4" s="21">
        <v>46081</v>
      </c>
      <c r="P4" s="21">
        <v>46112</v>
      </c>
      <c r="Q4" s="21">
        <v>46142</v>
      </c>
      <c r="R4" s="21">
        <v>46173</v>
      </c>
      <c r="S4" s="21">
        <v>46203</v>
      </c>
      <c r="T4" s="21">
        <v>46234</v>
      </c>
      <c r="U4" s="21">
        <v>46265</v>
      </c>
      <c r="V4" s="21">
        <v>46295</v>
      </c>
      <c r="W4" s="21">
        <v>46326</v>
      </c>
      <c r="X4" s="21">
        <v>46356</v>
      </c>
      <c r="Y4" s="21">
        <v>46387</v>
      </c>
      <c r="Z4" s="21">
        <v>46418</v>
      </c>
      <c r="AA4" s="21">
        <v>46446</v>
      </c>
      <c r="AB4" s="21">
        <v>46477</v>
      </c>
      <c r="AC4" s="21">
        <v>46507</v>
      </c>
      <c r="AD4" s="21">
        <v>46538</v>
      </c>
      <c r="AE4" s="21">
        <v>46568</v>
      </c>
      <c r="AF4" s="21">
        <v>46599</v>
      </c>
      <c r="AG4" s="21">
        <v>46630</v>
      </c>
      <c r="AH4" s="21">
        <v>46660</v>
      </c>
      <c r="AI4" s="21">
        <v>46691</v>
      </c>
      <c r="AJ4" s="21">
        <v>46721</v>
      </c>
      <c r="AK4" s="21">
        <v>46752</v>
      </c>
      <c r="AL4" s="21">
        <v>46783</v>
      </c>
      <c r="AM4" s="21">
        <v>46812</v>
      </c>
      <c r="AN4" s="21">
        <v>46843</v>
      </c>
      <c r="AO4" s="21">
        <v>46873</v>
      </c>
      <c r="AP4" s="21">
        <v>46904</v>
      </c>
      <c r="AQ4" s="21">
        <v>46934</v>
      </c>
      <c r="AR4" s="21">
        <v>46965</v>
      </c>
      <c r="AS4" s="21">
        <v>46996</v>
      </c>
      <c r="AT4" s="21">
        <v>47026</v>
      </c>
      <c r="AU4" s="21">
        <v>47057</v>
      </c>
      <c r="AV4" s="21">
        <v>47087</v>
      </c>
      <c r="AW4" s="21">
        <v>47118</v>
      </c>
      <c r="AX4" s="21">
        <v>47149</v>
      </c>
      <c r="AY4" s="21">
        <v>47177</v>
      </c>
      <c r="AZ4" s="21">
        <v>47208</v>
      </c>
      <c r="BA4" s="21">
        <v>47238</v>
      </c>
      <c r="BB4" s="21">
        <v>47269</v>
      </c>
      <c r="BC4" s="21">
        <v>47299</v>
      </c>
      <c r="BD4" s="21">
        <v>47330</v>
      </c>
      <c r="BE4" s="21">
        <v>47361</v>
      </c>
      <c r="BF4" s="21">
        <v>47391</v>
      </c>
      <c r="BG4" s="21">
        <v>47422</v>
      </c>
      <c r="BH4" s="21">
        <v>47452</v>
      </c>
      <c r="BI4" s="21">
        <v>47483</v>
      </c>
      <c r="BJ4" s="21">
        <v>47514</v>
      </c>
      <c r="BK4" s="21">
        <v>47542</v>
      </c>
      <c r="BL4" s="21">
        <v>47573</v>
      </c>
      <c r="BM4" s="21">
        <v>47603</v>
      </c>
      <c r="BN4" s="21">
        <v>47634</v>
      </c>
      <c r="BO4" s="21">
        <v>47664</v>
      </c>
      <c r="BP4" s="21">
        <v>47695</v>
      </c>
      <c r="BQ4" s="21">
        <v>47726</v>
      </c>
      <c r="BR4" s="21">
        <v>47756</v>
      </c>
      <c r="BS4" s="21">
        <v>47787</v>
      </c>
      <c r="BT4" s="21">
        <v>47817</v>
      </c>
      <c r="BU4" s="21">
        <v>47848</v>
      </c>
      <c r="BV4" s="21">
        <v>47879</v>
      </c>
      <c r="BW4" s="21">
        <v>47907</v>
      </c>
      <c r="BX4" s="21">
        <v>47938</v>
      </c>
      <c r="BY4" s="21">
        <v>47968</v>
      </c>
    </row>
    <row r="5" spans="1:77" s="22" customFormat="1" ht="15.75" thickBot="1" x14ac:dyDescent="0.3">
      <c r="A5" s="29" t="s">
        <v>65</v>
      </c>
      <c r="B5" s="22" t="str">
        <f>TEXT(B3, "d/mmm/yy")&amp;" - "&amp;TEXT(B4, "d/mmm/yy")</f>
        <v>1/Jan/25 - 31/Jan/25</v>
      </c>
      <c r="C5" s="22" t="str">
        <f t="shared" ref="C5:BN5" si="0">TEXT(C3, "d/mmm/yy")&amp;" - "&amp;TEXT(C4, "d/mmm/yy")</f>
        <v>1/Feb/25 - 28/Feb/25</v>
      </c>
      <c r="D5" s="22" t="str">
        <f t="shared" si="0"/>
        <v>1/Mar/25 - 31/Mar/25</v>
      </c>
      <c r="E5" s="22" t="str">
        <f t="shared" si="0"/>
        <v>1/Apr/25 - 30/Apr/25</v>
      </c>
      <c r="F5" s="22" t="str">
        <f t="shared" si="0"/>
        <v>1/May/25 - 31/May/25</v>
      </c>
      <c r="G5" s="22" t="str">
        <f t="shared" si="0"/>
        <v>1/Jun/25 - 30/Jun/25</v>
      </c>
      <c r="H5" s="22" t="str">
        <f t="shared" si="0"/>
        <v>1/Jul/25 - 31/Jul/25</v>
      </c>
      <c r="I5" s="22" t="str">
        <f t="shared" si="0"/>
        <v>1/Aug/25 - 31/Aug/25</v>
      </c>
      <c r="J5" s="22" t="str">
        <f t="shared" si="0"/>
        <v>1/Sep/25 - 30/Sep/25</v>
      </c>
      <c r="K5" s="22" t="str">
        <f t="shared" si="0"/>
        <v>1/Oct/25 - 31/Oct/25</v>
      </c>
      <c r="L5" s="22" t="str">
        <f t="shared" si="0"/>
        <v>1/Nov/25 - 30/Nov/25</v>
      </c>
      <c r="M5" s="22" t="str">
        <f t="shared" si="0"/>
        <v>1/Dec/25 - 31/Dec/25</v>
      </c>
      <c r="N5" s="22" t="str">
        <f t="shared" si="0"/>
        <v>1/Jan/26 - 31/Jan/26</v>
      </c>
      <c r="O5" s="22" t="str">
        <f t="shared" si="0"/>
        <v>1/Feb/26 - 28/Feb/26</v>
      </c>
      <c r="P5" s="22" t="str">
        <f t="shared" si="0"/>
        <v>1/Mar/26 - 31/Mar/26</v>
      </c>
      <c r="Q5" s="22" t="str">
        <f t="shared" si="0"/>
        <v>1/Apr/26 - 30/Apr/26</v>
      </c>
      <c r="R5" s="22" t="str">
        <f t="shared" si="0"/>
        <v>1/May/26 - 31/May/26</v>
      </c>
      <c r="S5" s="22" t="str">
        <f t="shared" si="0"/>
        <v>1/Jun/26 - 30/Jun/26</v>
      </c>
      <c r="T5" s="22" t="str">
        <f t="shared" si="0"/>
        <v>1/Jul/26 - 31/Jul/26</v>
      </c>
      <c r="U5" s="22" t="str">
        <f t="shared" si="0"/>
        <v>1/Aug/26 - 31/Aug/26</v>
      </c>
      <c r="V5" s="22" t="str">
        <f t="shared" si="0"/>
        <v>1/Sep/26 - 30/Sep/26</v>
      </c>
      <c r="W5" s="22" t="str">
        <f t="shared" si="0"/>
        <v>1/Oct/26 - 31/Oct/26</v>
      </c>
      <c r="X5" s="22" t="str">
        <f t="shared" si="0"/>
        <v>1/Nov/26 - 30/Nov/26</v>
      </c>
      <c r="Y5" s="22" t="str">
        <f t="shared" si="0"/>
        <v>1/Dec/26 - 31/Dec/26</v>
      </c>
      <c r="Z5" s="22" t="str">
        <f t="shared" si="0"/>
        <v>1/Jan/27 - 31/Jan/27</v>
      </c>
      <c r="AA5" s="22" t="str">
        <f t="shared" si="0"/>
        <v>1/Feb/27 - 28/Feb/27</v>
      </c>
      <c r="AB5" s="22" t="str">
        <f t="shared" si="0"/>
        <v>1/Mar/27 - 31/Mar/27</v>
      </c>
      <c r="AC5" s="22" t="str">
        <f t="shared" si="0"/>
        <v>1/Apr/27 - 30/Apr/27</v>
      </c>
      <c r="AD5" s="22" t="str">
        <f t="shared" si="0"/>
        <v>1/May/27 - 31/May/27</v>
      </c>
      <c r="AE5" s="22" t="str">
        <f t="shared" si="0"/>
        <v>1/Jun/27 - 30/Jun/27</v>
      </c>
      <c r="AF5" s="22" t="str">
        <f t="shared" si="0"/>
        <v>1/Jul/27 - 31/Jul/27</v>
      </c>
      <c r="AG5" s="22" t="str">
        <f t="shared" si="0"/>
        <v>1/Aug/27 - 31/Aug/27</v>
      </c>
      <c r="AH5" s="22" t="str">
        <f t="shared" si="0"/>
        <v>1/Sep/27 - 30/Sep/27</v>
      </c>
      <c r="AI5" s="22" t="str">
        <f t="shared" si="0"/>
        <v>1/Oct/27 - 31/Oct/27</v>
      </c>
      <c r="AJ5" s="22" t="str">
        <f t="shared" si="0"/>
        <v>1/Nov/27 - 30/Nov/27</v>
      </c>
      <c r="AK5" s="22" t="str">
        <f t="shared" si="0"/>
        <v>1/Dec/27 - 31/Dec/27</v>
      </c>
      <c r="AL5" s="22" t="str">
        <f t="shared" si="0"/>
        <v>1/Jan/28 - 31/Jan/28</v>
      </c>
      <c r="AM5" s="22" t="str">
        <f t="shared" si="0"/>
        <v>1/Feb/28 - 29/Feb/28</v>
      </c>
      <c r="AN5" s="22" t="str">
        <f t="shared" si="0"/>
        <v>1/Mar/28 - 31/Mar/28</v>
      </c>
      <c r="AO5" s="22" t="str">
        <f t="shared" si="0"/>
        <v>1/Apr/28 - 30/Apr/28</v>
      </c>
      <c r="AP5" s="22" t="str">
        <f t="shared" si="0"/>
        <v>1/May/28 - 31/May/28</v>
      </c>
      <c r="AQ5" s="22" t="str">
        <f t="shared" si="0"/>
        <v>1/Jun/28 - 30/Jun/28</v>
      </c>
      <c r="AR5" s="22" t="str">
        <f t="shared" si="0"/>
        <v>1/Jul/28 - 31/Jul/28</v>
      </c>
      <c r="AS5" s="22" t="str">
        <f t="shared" si="0"/>
        <v>1/Aug/28 - 31/Aug/28</v>
      </c>
      <c r="AT5" s="22" t="str">
        <f t="shared" si="0"/>
        <v>1/Sep/28 - 30/Sep/28</v>
      </c>
      <c r="AU5" s="22" t="str">
        <f t="shared" si="0"/>
        <v>1/Oct/28 - 31/Oct/28</v>
      </c>
      <c r="AV5" s="22" t="str">
        <f t="shared" si="0"/>
        <v>1/Nov/28 - 30/Nov/28</v>
      </c>
      <c r="AW5" s="22" t="str">
        <f t="shared" si="0"/>
        <v>1/Dec/28 - 31/Dec/28</v>
      </c>
      <c r="AX5" s="22" t="str">
        <f t="shared" si="0"/>
        <v>1/Jan/29 - 31/Jan/29</v>
      </c>
      <c r="AY5" s="22" t="str">
        <f t="shared" si="0"/>
        <v>1/Feb/29 - 28/Feb/29</v>
      </c>
      <c r="AZ5" s="22" t="str">
        <f t="shared" si="0"/>
        <v>1/Mar/29 - 31/Mar/29</v>
      </c>
      <c r="BA5" s="22" t="str">
        <f t="shared" si="0"/>
        <v>1/Apr/29 - 30/Apr/29</v>
      </c>
      <c r="BB5" s="22" t="str">
        <f t="shared" si="0"/>
        <v>1/May/29 - 31/May/29</v>
      </c>
      <c r="BC5" s="22" t="str">
        <f t="shared" si="0"/>
        <v>1/Jun/29 - 30/Jun/29</v>
      </c>
      <c r="BD5" s="22" t="str">
        <f t="shared" si="0"/>
        <v>1/Jul/29 - 31/Jul/29</v>
      </c>
      <c r="BE5" s="22" t="str">
        <f t="shared" si="0"/>
        <v>1/Aug/29 - 31/Aug/29</v>
      </c>
      <c r="BF5" s="22" t="str">
        <f t="shared" si="0"/>
        <v>1/Sep/29 - 30/Sep/29</v>
      </c>
      <c r="BG5" s="22" t="str">
        <f t="shared" si="0"/>
        <v>1/Oct/29 - 31/Oct/29</v>
      </c>
      <c r="BH5" s="22" t="str">
        <f t="shared" si="0"/>
        <v>1/Nov/29 - 30/Nov/29</v>
      </c>
      <c r="BI5" s="22" t="str">
        <f t="shared" si="0"/>
        <v>1/Dec/29 - 31/Dec/29</v>
      </c>
      <c r="BJ5" s="22" t="str">
        <f t="shared" si="0"/>
        <v>1/Jan/30 - 31/Jan/30</v>
      </c>
      <c r="BK5" s="22" t="str">
        <f t="shared" si="0"/>
        <v>1/Feb/30 - 28/Feb/30</v>
      </c>
      <c r="BL5" s="22" t="str">
        <f t="shared" si="0"/>
        <v>1/Mar/30 - 31/Mar/30</v>
      </c>
      <c r="BM5" s="22" t="str">
        <f t="shared" si="0"/>
        <v>1/Apr/30 - 30/Apr/30</v>
      </c>
      <c r="BN5" s="22" t="str">
        <f t="shared" si="0"/>
        <v>1/May/30 - 31/May/30</v>
      </c>
      <c r="BO5" s="22" t="str">
        <f t="shared" ref="BO5:BY5" si="1">TEXT(BO3, "d/mmm/yy")&amp;" - "&amp;TEXT(BO4, "d/mmm/yy")</f>
        <v>1/Jun/30 - 30/Jun/30</v>
      </c>
      <c r="BP5" s="22" t="str">
        <f t="shared" si="1"/>
        <v>1/Jul/30 - 31/Jul/30</v>
      </c>
      <c r="BQ5" s="22" t="str">
        <f t="shared" si="1"/>
        <v>1/Aug/30 - 31/Aug/30</v>
      </c>
      <c r="BR5" s="22" t="str">
        <f t="shared" si="1"/>
        <v>1/Sep/30 - 30/Sep/30</v>
      </c>
      <c r="BS5" s="22" t="str">
        <f t="shared" si="1"/>
        <v>1/Oct/30 - 31/Oct/30</v>
      </c>
      <c r="BT5" s="22" t="str">
        <f t="shared" si="1"/>
        <v>1/Nov/30 - 30/Nov/30</v>
      </c>
      <c r="BU5" s="22" t="str">
        <f t="shared" si="1"/>
        <v>1/Dec/30 - 31/Dec/30</v>
      </c>
      <c r="BV5" s="22" t="str">
        <f t="shared" si="1"/>
        <v>1/Jan/31 - 31/Jan/31</v>
      </c>
      <c r="BW5" s="22" t="str">
        <f t="shared" si="1"/>
        <v>1/Feb/31 - 28/Feb/31</v>
      </c>
      <c r="BX5" s="22" t="str">
        <f t="shared" si="1"/>
        <v>1/Mar/31 - 31/Mar/31</v>
      </c>
      <c r="BY5" s="22" t="str">
        <f t="shared" si="1"/>
        <v>1/Apr/31 - 30/Apr/31</v>
      </c>
    </row>
    <row r="6" spans="1:77" s="25" customFormat="1" x14ac:dyDescent="0.25">
      <c r="A6" s="30" t="s">
        <v>56</v>
      </c>
      <c r="B6" s="25">
        <v>677.89</v>
      </c>
      <c r="C6" s="25">
        <v>3797.46</v>
      </c>
      <c r="D6" s="25">
        <v>2459.4499999999998</v>
      </c>
      <c r="E6" s="25">
        <v>2452.62</v>
      </c>
      <c r="F6" s="25">
        <v>2431.4699999999998</v>
      </c>
      <c r="G6" s="25">
        <v>4.6500000000000004</v>
      </c>
      <c r="H6" s="25">
        <v>625.19000000000005</v>
      </c>
      <c r="I6" s="25">
        <v>5857.46</v>
      </c>
    </row>
    <row r="7" spans="1:77" s="7" customFormat="1" x14ac:dyDescent="0.25">
      <c r="A7" s="30" t="s">
        <v>57</v>
      </c>
      <c r="B7" s="7">
        <v>256.37</v>
      </c>
      <c r="C7" s="7">
        <v>367.63</v>
      </c>
      <c r="D7" s="7">
        <v>406.11</v>
      </c>
      <c r="E7" s="7">
        <v>256</v>
      </c>
      <c r="F7" s="7">
        <v>257</v>
      </c>
      <c r="G7" s="7">
        <v>513</v>
      </c>
      <c r="H7" s="7">
        <v>494</v>
      </c>
      <c r="I7" s="7">
        <v>487</v>
      </c>
    </row>
    <row r="8" spans="1:77" s="7" customFormat="1" x14ac:dyDescent="0.25">
      <c r="A8" s="30" t="s">
        <v>58</v>
      </c>
      <c r="B8" s="7">
        <v>18.39</v>
      </c>
      <c r="C8" s="7">
        <v>59.53</v>
      </c>
      <c r="D8" s="7">
        <v>75.739999999999995</v>
      </c>
      <c r="E8" s="7">
        <v>70.33</v>
      </c>
      <c r="F8" s="7">
        <v>129</v>
      </c>
      <c r="G8" s="7">
        <v>37.880000000000003</v>
      </c>
      <c r="H8" s="7">
        <v>48.69</v>
      </c>
      <c r="I8" s="7">
        <v>27</v>
      </c>
    </row>
    <row r="9" spans="1:77" s="7" customFormat="1" x14ac:dyDescent="0.25">
      <c r="A9" s="30" t="s">
        <v>59</v>
      </c>
      <c r="B9" s="7">
        <v>12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</row>
    <row r="10" spans="1:77" s="7" customFormat="1" x14ac:dyDescent="0.25">
      <c r="A10" s="30" t="s">
        <v>46</v>
      </c>
      <c r="B10" s="7">
        <v>10.65</v>
      </c>
      <c r="C10" s="7">
        <v>158.99</v>
      </c>
      <c r="D10" s="7">
        <v>143.58000000000001</v>
      </c>
      <c r="E10" s="7">
        <v>52.87</v>
      </c>
      <c r="F10" s="7">
        <v>169.9</v>
      </c>
      <c r="G10" s="7">
        <v>98</v>
      </c>
      <c r="H10" s="7">
        <v>84.84</v>
      </c>
      <c r="I10" s="7">
        <v>109</v>
      </c>
    </row>
    <row r="11" spans="1:77" s="7" customFormat="1" x14ac:dyDescent="0.25">
      <c r="A11" s="30" t="s">
        <v>60</v>
      </c>
      <c r="B11" s="7">
        <v>5.85</v>
      </c>
      <c r="C11" s="7">
        <v>0</v>
      </c>
      <c r="D11" s="7">
        <v>68.14</v>
      </c>
      <c r="E11" s="7">
        <v>0</v>
      </c>
      <c r="F11" s="7">
        <v>118.2</v>
      </c>
      <c r="G11" s="7">
        <v>72.48</v>
      </c>
      <c r="H11" s="7">
        <v>187.51</v>
      </c>
      <c r="I11" s="7">
        <v>72</v>
      </c>
    </row>
    <row r="12" spans="1:77" s="7" customFormat="1" x14ac:dyDescent="0.25">
      <c r="A12" s="30" t="s">
        <v>61</v>
      </c>
      <c r="B12" s="7">
        <v>0</v>
      </c>
      <c r="C12" s="7">
        <v>141.82</v>
      </c>
      <c r="D12" s="7">
        <v>63.53</v>
      </c>
      <c r="E12" s="7">
        <v>67.13</v>
      </c>
      <c r="F12" s="7">
        <v>157.4</v>
      </c>
      <c r="G12" s="7">
        <v>107.07</v>
      </c>
      <c r="H12" s="7">
        <v>93.76</v>
      </c>
      <c r="I12" s="7">
        <v>304</v>
      </c>
    </row>
    <row r="13" spans="1:77" s="7" customFormat="1" x14ac:dyDescent="0.25">
      <c r="A13" s="30" t="s">
        <v>62</v>
      </c>
      <c r="B13" s="7">
        <v>0</v>
      </c>
      <c r="C13" s="7">
        <v>0</v>
      </c>
      <c r="D13" s="7">
        <v>40</v>
      </c>
      <c r="E13" s="7">
        <v>0</v>
      </c>
      <c r="F13" s="7">
        <v>289</v>
      </c>
      <c r="G13" s="7">
        <v>18</v>
      </c>
      <c r="H13" s="7">
        <v>0</v>
      </c>
      <c r="I13" s="7">
        <v>293</v>
      </c>
    </row>
    <row r="14" spans="1:77" s="7" customFormat="1" x14ac:dyDescent="0.25">
      <c r="A14" s="30" t="s">
        <v>63</v>
      </c>
      <c r="B14" s="7">
        <v>0</v>
      </c>
      <c r="C14" s="7">
        <v>0</v>
      </c>
      <c r="D14" s="7">
        <v>0</v>
      </c>
      <c r="E14" s="7">
        <v>54</v>
      </c>
      <c r="F14" s="7">
        <v>18</v>
      </c>
      <c r="G14" s="7">
        <v>0</v>
      </c>
      <c r="H14" s="7">
        <v>0</v>
      </c>
      <c r="I14" s="7">
        <v>0</v>
      </c>
    </row>
    <row r="15" spans="1:77" s="7" customFormat="1" x14ac:dyDescent="0.25">
      <c r="A15" s="30" t="s">
        <v>64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52.88</v>
      </c>
      <c r="H15" s="7">
        <v>0</v>
      </c>
      <c r="I15" s="7">
        <v>0</v>
      </c>
    </row>
    <row r="16" spans="1:77" s="7" customFormat="1" x14ac:dyDescent="0.25">
      <c r="A16" s="30" t="s">
        <v>51</v>
      </c>
      <c r="B16" s="7">
        <v>0</v>
      </c>
      <c r="C16" s="7">
        <v>5.85</v>
      </c>
      <c r="D16" s="7">
        <v>0</v>
      </c>
      <c r="E16" s="7">
        <v>0</v>
      </c>
      <c r="F16" s="7">
        <v>0</v>
      </c>
      <c r="G16" s="7">
        <v>0</v>
      </c>
      <c r="H16" s="7">
        <v>45.44</v>
      </c>
      <c r="I16" s="7">
        <v>12</v>
      </c>
    </row>
    <row r="17" spans="1:9" s="7" customFormat="1" x14ac:dyDescent="0.25">
      <c r="A17" s="30" t="s">
        <v>66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I17" s="7">
        <v>0</v>
      </c>
    </row>
    <row r="18" spans="1:9" ht="15.75" thickBot="1" x14ac:dyDescent="0.3">
      <c r="A18" s="31" t="s">
        <v>70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12</v>
      </c>
      <c r="I18" s="7">
        <v>0</v>
      </c>
    </row>
    <row r="19" spans="1:9" s="18" customFormat="1" ht="15.75" thickBot="1" x14ac:dyDescent="0.3">
      <c r="A19" s="19" t="s">
        <v>67</v>
      </c>
      <c r="B19" s="18">
        <f>SUM(B7:B18)</f>
        <v>303.26</v>
      </c>
      <c r="C19" s="18">
        <f t="shared" ref="C19:I19" si="2">SUM(C7:C18)</f>
        <v>733.82</v>
      </c>
      <c r="D19" s="18">
        <f t="shared" si="2"/>
        <v>797.1</v>
      </c>
      <c r="E19" s="18">
        <f t="shared" si="2"/>
        <v>500.33</v>
      </c>
      <c r="F19" s="18">
        <f t="shared" si="2"/>
        <v>1138.5</v>
      </c>
      <c r="G19" s="18">
        <f t="shared" si="2"/>
        <v>899.31000000000006</v>
      </c>
      <c r="H19" s="18">
        <f t="shared" si="2"/>
        <v>966.24</v>
      </c>
      <c r="I19" s="18">
        <f t="shared" si="2"/>
        <v>1304</v>
      </c>
    </row>
    <row r="20" spans="1:9" ht="15.75" thickBot="1" x14ac:dyDescent="0.3">
      <c r="A20" s="32" t="s">
        <v>71</v>
      </c>
      <c r="B20" s="20">
        <v>0</v>
      </c>
      <c r="C20" s="20">
        <v>0</v>
      </c>
      <c r="D20" s="20">
        <v>0</v>
      </c>
      <c r="E20" s="20">
        <v>1235</v>
      </c>
      <c r="F20" s="20">
        <v>2427</v>
      </c>
      <c r="G20" s="20">
        <v>0</v>
      </c>
      <c r="H20" s="20">
        <v>315</v>
      </c>
      <c r="I20" s="26">
        <f>(GrossIncome!E27*2)</f>
        <v>1647.7025000000001</v>
      </c>
    </row>
    <row r="21" spans="1:9" s="7" customFormat="1" ht="15.75" thickBot="1" x14ac:dyDescent="0.3">
      <c r="A21" s="32" t="s">
        <v>72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315</v>
      </c>
      <c r="I21" s="7">
        <f>(GrossIncome!D27*2)</f>
        <v>3844.6391666666668</v>
      </c>
    </row>
    <row r="22" spans="1:9" ht="15.75" thickBot="1" x14ac:dyDescent="0.3">
      <c r="A22" s="32" t="s">
        <v>53</v>
      </c>
      <c r="B22" s="26">
        <f>(B20-B19)</f>
        <v>-303.26</v>
      </c>
      <c r="C22" s="26">
        <f t="shared" ref="C22:I22" si="3">(C20-C19)</f>
        <v>-733.82</v>
      </c>
      <c r="D22" s="26">
        <f t="shared" si="3"/>
        <v>-797.1</v>
      </c>
      <c r="E22" s="26">
        <f t="shared" si="3"/>
        <v>734.67000000000007</v>
      </c>
      <c r="F22" s="26">
        <f t="shared" si="3"/>
        <v>1288.5</v>
      </c>
      <c r="G22" s="26">
        <f t="shared" si="3"/>
        <v>-899.31000000000006</v>
      </c>
      <c r="H22" s="26">
        <f t="shared" si="3"/>
        <v>-651.24</v>
      </c>
      <c r="I22" s="26">
        <f t="shared" si="3"/>
        <v>343.7025000000001</v>
      </c>
    </row>
    <row r="23" spans="1:9" s="24" customFormat="1" ht="15.75" thickBot="1" x14ac:dyDescent="0.3">
      <c r="A23" s="32" t="s">
        <v>19</v>
      </c>
      <c r="B23" s="23">
        <v>32</v>
      </c>
      <c r="C23" s="23">
        <v>32</v>
      </c>
      <c r="D23" s="23">
        <v>1035</v>
      </c>
      <c r="E23" s="23">
        <v>1599</v>
      </c>
      <c r="F23" s="23">
        <v>1603</v>
      </c>
      <c r="G23" s="23">
        <v>1608</v>
      </c>
      <c r="H23" s="23">
        <v>1923</v>
      </c>
      <c r="I23" s="23">
        <v>6028</v>
      </c>
    </row>
  </sheetData>
  <phoneticPr fontId="2" type="noConversion"/>
  <pageMargins left="0.7" right="0.7" top="0.75" bottom="0.75" header="0.3" footer="0.3"/>
  <ignoredErrors>
    <ignoredError sqref="B19 I19 C19:H19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39CE-F0EC-4802-8232-F2B16E582D58}">
  <dimension ref="A1"/>
  <sheetViews>
    <sheetView workbookViewId="0">
      <selection activeCell="P34" sqref="P3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70EF2-4709-45CB-9F0B-0EE39438AD2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GrossIncome</vt:lpstr>
      <vt:lpstr>SpendingAndSavings</vt:lpstr>
      <vt:lpstr>Sheet3</vt:lpstr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Hogan-Bailey, Aman</dc:creator>
  <cp:lastModifiedBy>Hogan-Bailey, Aman</cp:lastModifiedBy>
  <dcterms:created xsi:type="dcterms:W3CDTF">2025-08-24T18:55:19Z</dcterms:created>
  <dcterms:modified xsi:type="dcterms:W3CDTF">2025-09-18T11:54:41Z</dcterms:modified>
</cp:coreProperties>
</file>